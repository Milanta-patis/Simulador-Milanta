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ta\Documents\Arnau\"/>
    </mc:Choice>
  </mc:AlternateContent>
  <xr:revisionPtr revIDLastSave="0" documentId="13_ncr:1_{053C6BB2-09A8-400D-AC02-F673C7BF8BDB}" xr6:coauthVersionLast="47" xr6:coauthVersionMax="47" xr10:uidLastSave="{00000000-0000-0000-0000-000000000000}"/>
  <bookViews>
    <workbookView xWindow="-108" yWindow="-108" windowWidth="23256" windowHeight="12456" xr2:uid="{C268FE59-5D98-4779-93AE-6BAB9C17F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</calcChain>
</file>

<file path=xl/sharedStrings.xml><?xml version="1.0" encoding="utf-8"?>
<sst xmlns="http://schemas.openxmlformats.org/spreadsheetml/2006/main" count="112" uniqueCount="31">
  <si>
    <t>Projecte</t>
  </si>
  <si>
    <t>any</t>
  </si>
  <si>
    <t>La Salle - Seu Urgell</t>
  </si>
  <si>
    <t>accessibilitat</t>
  </si>
  <si>
    <t>bona</t>
  </si>
  <si>
    <t>repicat</t>
  </si>
  <si>
    <t>si</t>
  </si>
  <si>
    <t>m²</t>
  </si>
  <si>
    <t>tipologia</t>
  </si>
  <si>
    <t>preu total</t>
  </si>
  <si>
    <t>espai trobada</t>
  </si>
  <si>
    <t>complexitat</t>
  </si>
  <si>
    <t>baixa</t>
  </si>
  <si>
    <t>alta</t>
  </si>
  <si>
    <t>combinat</t>
  </si>
  <si>
    <t>sorral</t>
  </si>
  <si>
    <t>mitja</t>
  </si>
  <si>
    <t>no</t>
  </si>
  <si>
    <t>La Salle - Tarragona</t>
  </si>
  <si>
    <t>Anoia</t>
  </si>
  <si>
    <t>Mowgli</t>
  </si>
  <si>
    <t>limitada</t>
  </si>
  <si>
    <t>Molí Petit</t>
  </si>
  <si>
    <t>Sagrat Cor - Solivella</t>
  </si>
  <si>
    <t>Escola Pia - Granollers</t>
  </si>
  <si>
    <t>Anna Mogas - Granollers</t>
  </si>
  <si>
    <t>Les Beceroles - Santa Bárbara</t>
  </si>
  <si>
    <t>moviment</t>
  </si>
  <si>
    <t>parcial</t>
  </si>
  <si>
    <t>preu/m²</t>
  </si>
  <si>
    <t>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</si>
</sst>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/>
    <xf numFmtId="44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11"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B8C2D-6CAE-43E2-BFF7-DA0285178005}" name="Tabla1" displayName="Tabla1" ref="A1:J18" totalsRowShown="0" headerRowDxfId="10" dataDxfId="9">
  <autoFilter ref="A1:J18" xr:uid="{C6AB8C2D-6CAE-43E2-BFF7-DA0285178005}"/>
  <tableColumns count="10">
    <tableColumn id="1" xr3:uid="{6887BFB8-5A9B-4C98-AE4A-293DABAC48F6}" name="Projecte"/>
    <tableColumn id="2" xr3:uid="{C1A9F316-18D3-4A60-995E-0510E1E38994}" name="any" dataDxfId="8"/>
    <tableColumn id="3" xr3:uid="{A49F3AC1-2DB8-49BD-8AE8-D7A6BD53FD1C}" name="m²" dataDxfId="7"/>
    <tableColumn id="4" xr3:uid="{6360ECFB-ACB8-4EE0-8AA6-420E84005DCC}" name="accessibilitat" dataDxfId="6"/>
    <tableColumn id="10" xr3:uid="{8F8819C9-807F-411A-93DF-7A62851E0DE1}" name="complexitat" dataDxfId="5"/>
    <tableColumn id="5" xr3:uid="{0FA0DEE6-319E-4E28-8639-D1AC765324AA}" name="maquina" dataDxfId="4"/>
    <tableColumn id="6" xr3:uid="{D429A092-929E-4492-AE35-031BDFCECC30}" name="repicat" dataDxfId="3"/>
    <tableColumn id="8" xr3:uid="{B58ED1BD-BB0A-4CB1-83E2-15AFF59C3B36}" name="tipologia" dataDxfId="2"/>
    <tableColumn id="9" xr3:uid="{E4306E95-4489-41CD-8C53-515FB4249D41}" name="preu total" dataDxfId="1" dataCellStyle="Moneda"/>
    <tableColumn id="7" xr3:uid="{8DA87BDA-9696-4A6B-AFF2-C3896906BAE5}" name="preu/m²" dataDxfId="0">
      <calculatedColumnFormula>Tabla1[[#This Row],[preu total]]/Tabla1[[#This Row],[m²]]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847F-D3AB-4048-9CC8-9BB16BDA546D}">
  <dimension ref="A1:K22"/>
  <sheetViews>
    <sheetView tabSelected="1" workbookViewId="0">
      <selection activeCell="F2" sqref="F2"/>
    </sheetView>
  </sheetViews>
  <sheetFormatPr baseColWidth="10" defaultRowHeight="14.4" x14ac:dyDescent="0.3"/>
  <cols>
    <col min="1" max="1" width="26" customWidth="1"/>
    <col min="4" max="5" width="13.44140625" customWidth="1"/>
    <col min="8" max="8" width="15.6640625" customWidth="1"/>
    <col min="9" max="9" width="14" customWidth="1"/>
  </cols>
  <sheetData>
    <row r="1" spans="1:11" x14ac:dyDescent="0.3">
      <c r="A1" s="1" t="s">
        <v>0</v>
      </c>
      <c r="B1" s="1" t="s">
        <v>1</v>
      </c>
      <c r="C1" s="1" t="s">
        <v>7</v>
      </c>
      <c r="D1" s="1" t="s">
        <v>3</v>
      </c>
      <c r="E1" s="1" t="s">
        <v>11</v>
      </c>
      <c r="F1" s="1" t="s">
        <v>30</v>
      </c>
      <c r="G1" s="1" t="s">
        <v>5</v>
      </c>
      <c r="H1" s="1" t="s">
        <v>8</v>
      </c>
      <c r="I1" s="1" t="s">
        <v>9</v>
      </c>
      <c r="J1" s="1" t="s">
        <v>29</v>
      </c>
    </row>
    <row r="2" spans="1:11" ht="15" customHeight="1" x14ac:dyDescent="0.3">
      <c r="A2" t="s">
        <v>2</v>
      </c>
      <c r="B2" s="2">
        <v>2026</v>
      </c>
      <c r="C2" s="2">
        <v>48</v>
      </c>
      <c r="D2" s="2" t="s">
        <v>4</v>
      </c>
      <c r="E2" s="2" t="s">
        <v>12</v>
      </c>
      <c r="F2" s="2" t="s">
        <v>6</v>
      </c>
      <c r="G2" s="2" t="s">
        <v>28</v>
      </c>
      <c r="H2" s="2" t="s">
        <v>10</v>
      </c>
      <c r="I2" s="3">
        <v>11914.6</v>
      </c>
      <c r="J2" s="6">
        <f>Tabla1[[#This Row],[preu total]]/Tabla1[[#This Row],[m²]]</f>
        <v>248.22083333333333</v>
      </c>
      <c r="K2" s="5"/>
    </row>
    <row r="3" spans="1:11" ht="15" customHeight="1" x14ac:dyDescent="0.3">
      <c r="A3" t="s">
        <v>2</v>
      </c>
      <c r="B3" s="2">
        <v>2026</v>
      </c>
      <c r="C3" s="2">
        <v>210</v>
      </c>
      <c r="D3" s="2" t="s">
        <v>4</v>
      </c>
      <c r="E3" s="2" t="s">
        <v>16</v>
      </c>
      <c r="F3" s="2" t="s">
        <v>6</v>
      </c>
      <c r="G3" s="2" t="s">
        <v>28</v>
      </c>
      <c r="H3" s="2" t="s">
        <v>14</v>
      </c>
      <c r="I3" s="3">
        <v>39228.730000000003</v>
      </c>
      <c r="J3" s="6">
        <f>Tabla1[[#This Row],[preu total]]/Tabla1[[#This Row],[m²]]</f>
        <v>186.8034761904762</v>
      </c>
      <c r="K3" s="5"/>
    </row>
    <row r="4" spans="1:11" ht="15" customHeight="1" x14ac:dyDescent="0.3">
      <c r="A4" t="s">
        <v>2</v>
      </c>
      <c r="B4" s="2">
        <v>2026</v>
      </c>
      <c r="C4" s="2">
        <v>165</v>
      </c>
      <c r="D4" s="2" t="s">
        <v>4</v>
      </c>
      <c r="E4" s="2" t="s">
        <v>13</v>
      </c>
      <c r="F4" s="2" t="s">
        <v>6</v>
      </c>
      <c r="G4" s="2" t="s">
        <v>28</v>
      </c>
      <c r="H4" s="2" t="s">
        <v>14</v>
      </c>
      <c r="I4" s="3">
        <v>33845.885000000002</v>
      </c>
      <c r="J4" s="6">
        <f>Tabla1[[#This Row],[preu total]]/Tabla1[[#This Row],[m²]]</f>
        <v>205.12657575757578</v>
      </c>
      <c r="K4" s="5"/>
    </row>
    <row r="5" spans="1:11" ht="15" customHeight="1" x14ac:dyDescent="0.3">
      <c r="A5" t="s">
        <v>2</v>
      </c>
      <c r="B5" s="2">
        <v>2026</v>
      </c>
      <c r="C5" s="2">
        <v>50</v>
      </c>
      <c r="D5" s="2" t="s">
        <v>4</v>
      </c>
      <c r="E5" s="2" t="s">
        <v>13</v>
      </c>
      <c r="F5" s="2" t="s">
        <v>6</v>
      </c>
      <c r="G5" s="2" t="s">
        <v>28</v>
      </c>
      <c r="H5" s="2" t="s">
        <v>10</v>
      </c>
      <c r="I5" s="3">
        <v>19672.2</v>
      </c>
      <c r="J5" s="6">
        <f>Tabla1[[#This Row],[preu total]]/Tabla1[[#This Row],[m²]]</f>
        <v>393.44400000000002</v>
      </c>
      <c r="K5" s="5"/>
    </row>
    <row r="6" spans="1:11" ht="15" customHeight="1" x14ac:dyDescent="0.3">
      <c r="A6" t="s">
        <v>18</v>
      </c>
      <c r="B6" s="2">
        <v>2026</v>
      </c>
      <c r="C6" s="2">
        <v>57</v>
      </c>
      <c r="D6" s="2" t="s">
        <v>4</v>
      </c>
      <c r="E6" s="2" t="s">
        <v>16</v>
      </c>
      <c r="F6" s="2" t="s">
        <v>17</v>
      </c>
      <c r="G6" s="2" t="s">
        <v>17</v>
      </c>
      <c r="H6" s="2" t="s">
        <v>15</v>
      </c>
      <c r="I6" s="3">
        <v>11467.91</v>
      </c>
      <c r="J6" s="6">
        <f>Tabla1[[#This Row],[preu total]]/Tabla1[[#This Row],[m²]]</f>
        <v>201.19140350877194</v>
      </c>
      <c r="K6" s="5"/>
    </row>
    <row r="7" spans="1:11" ht="15" customHeight="1" x14ac:dyDescent="0.3">
      <c r="A7" t="s">
        <v>18</v>
      </c>
      <c r="B7" s="2">
        <v>2026</v>
      </c>
      <c r="C7" s="2">
        <v>80</v>
      </c>
      <c r="D7" s="2" t="s">
        <v>4</v>
      </c>
      <c r="E7" s="2" t="s">
        <v>16</v>
      </c>
      <c r="F7" s="2" t="s">
        <v>17</v>
      </c>
      <c r="G7" s="2" t="s">
        <v>17</v>
      </c>
      <c r="H7" s="2" t="s">
        <v>15</v>
      </c>
      <c r="I7" s="3">
        <v>14830.645</v>
      </c>
      <c r="J7" s="6">
        <f>Tabla1[[#This Row],[preu total]]/Tabla1[[#This Row],[m²]]</f>
        <v>185.38306249999999</v>
      </c>
      <c r="K7" s="5"/>
    </row>
    <row r="8" spans="1:11" ht="15" customHeight="1" x14ac:dyDescent="0.3">
      <c r="A8" t="s">
        <v>19</v>
      </c>
      <c r="B8" s="2">
        <v>2026</v>
      </c>
      <c r="C8" s="4">
        <v>127</v>
      </c>
      <c r="D8" s="2" t="s">
        <v>4</v>
      </c>
      <c r="E8" s="2" t="s">
        <v>12</v>
      </c>
      <c r="F8" s="2" t="s">
        <v>17</v>
      </c>
      <c r="G8" s="2" t="s">
        <v>17</v>
      </c>
      <c r="H8" s="2" t="s">
        <v>10</v>
      </c>
      <c r="I8" s="3">
        <v>14505.78</v>
      </c>
      <c r="J8" s="6">
        <f>Tabla1[[#This Row],[preu total]]/Tabla1[[#This Row],[m²]]</f>
        <v>114.21874015748033</v>
      </c>
      <c r="K8" s="5"/>
    </row>
    <row r="9" spans="1:11" ht="15" customHeight="1" x14ac:dyDescent="0.3">
      <c r="A9" t="s">
        <v>20</v>
      </c>
      <c r="B9" s="2">
        <v>2026</v>
      </c>
      <c r="C9" s="2">
        <v>270</v>
      </c>
      <c r="D9" s="2" t="s">
        <v>21</v>
      </c>
      <c r="E9" s="2" t="s">
        <v>12</v>
      </c>
      <c r="F9" s="2" t="s">
        <v>6</v>
      </c>
      <c r="G9" s="2" t="s">
        <v>17</v>
      </c>
      <c r="H9" s="2" t="s">
        <v>14</v>
      </c>
      <c r="I9" s="3">
        <v>33376.310000000005</v>
      </c>
      <c r="J9" s="6">
        <f>Tabla1[[#This Row],[preu total]]/Tabla1[[#This Row],[m²]]</f>
        <v>123.61596296296298</v>
      </c>
      <c r="K9" s="5"/>
    </row>
    <row r="10" spans="1:11" ht="15" customHeight="1" x14ac:dyDescent="0.3">
      <c r="A10" t="s">
        <v>22</v>
      </c>
      <c r="B10" s="2">
        <v>2026</v>
      </c>
      <c r="C10" s="2">
        <v>233</v>
      </c>
      <c r="D10" s="2" t="s">
        <v>21</v>
      </c>
      <c r="E10" s="2" t="s">
        <v>13</v>
      </c>
      <c r="F10" s="2" t="s">
        <v>17</v>
      </c>
      <c r="G10" s="2" t="s">
        <v>28</v>
      </c>
      <c r="H10" s="2" t="s">
        <v>14</v>
      </c>
      <c r="I10" s="3">
        <v>40505.639999999992</v>
      </c>
      <c r="J10" s="6">
        <f>Tabla1[[#This Row],[preu total]]/Tabla1[[#This Row],[m²]]</f>
        <v>173.84394849785406</v>
      </c>
      <c r="K10" s="5"/>
    </row>
    <row r="11" spans="1:11" ht="15" customHeight="1" x14ac:dyDescent="0.3">
      <c r="A11" t="s">
        <v>23</v>
      </c>
      <c r="B11" s="2">
        <v>2026</v>
      </c>
      <c r="C11" s="2">
        <v>84</v>
      </c>
      <c r="D11" s="2" t="s">
        <v>4</v>
      </c>
      <c r="E11" s="2" t="s">
        <v>16</v>
      </c>
      <c r="F11" s="2" t="s">
        <v>6</v>
      </c>
      <c r="G11" s="2" t="s">
        <v>17</v>
      </c>
      <c r="H11" s="2" t="s">
        <v>14</v>
      </c>
      <c r="I11" s="3">
        <v>21659.300000000003</v>
      </c>
      <c r="J11" s="6">
        <f>Tabla1[[#This Row],[preu total]]/Tabla1[[#This Row],[m²]]</f>
        <v>257.84880952380956</v>
      </c>
      <c r="K11" s="5"/>
    </row>
    <row r="12" spans="1:11" ht="15" customHeight="1" x14ac:dyDescent="0.3">
      <c r="A12" t="s">
        <v>23</v>
      </c>
      <c r="B12" s="2">
        <v>2026</v>
      </c>
      <c r="C12" s="2">
        <v>107</v>
      </c>
      <c r="D12" s="2" t="s">
        <v>4</v>
      </c>
      <c r="E12" s="2" t="s">
        <v>12</v>
      </c>
      <c r="F12" s="2" t="s">
        <v>6</v>
      </c>
      <c r="G12" s="2" t="s">
        <v>17</v>
      </c>
      <c r="H12" s="2" t="s">
        <v>15</v>
      </c>
      <c r="I12" s="3">
        <v>15683.06</v>
      </c>
      <c r="J12" s="6">
        <f>Tabla1[[#This Row],[preu total]]/Tabla1[[#This Row],[m²]]</f>
        <v>146.57065420560747</v>
      </c>
      <c r="K12" s="5"/>
    </row>
    <row r="13" spans="1:11" ht="15" customHeight="1" x14ac:dyDescent="0.3">
      <c r="A13" t="s">
        <v>23</v>
      </c>
      <c r="B13" s="2">
        <v>2026</v>
      </c>
      <c r="C13" s="2">
        <v>98</v>
      </c>
      <c r="D13" s="2" t="s">
        <v>4</v>
      </c>
      <c r="E13" s="2" t="s">
        <v>12</v>
      </c>
      <c r="F13" s="2" t="s">
        <v>6</v>
      </c>
      <c r="G13" s="2" t="s">
        <v>17</v>
      </c>
      <c r="H13" s="2" t="s">
        <v>27</v>
      </c>
      <c r="I13" s="3">
        <v>19598.924999999999</v>
      </c>
      <c r="J13" s="6">
        <f>Tabla1[[#This Row],[preu total]]/Tabla1[[#This Row],[m²]]</f>
        <v>199.9890306122449</v>
      </c>
      <c r="K13" s="5"/>
    </row>
    <row r="14" spans="1:11" ht="15" customHeight="1" x14ac:dyDescent="0.3">
      <c r="A14" t="s">
        <v>24</v>
      </c>
      <c r="B14" s="2">
        <v>2026</v>
      </c>
      <c r="C14" s="2">
        <v>160</v>
      </c>
      <c r="D14" s="2" t="s">
        <v>4</v>
      </c>
      <c r="E14" s="2" t="s">
        <v>13</v>
      </c>
      <c r="F14" s="2" t="s">
        <v>6</v>
      </c>
      <c r="G14" s="2" t="s">
        <v>28</v>
      </c>
      <c r="H14" s="2" t="s">
        <v>15</v>
      </c>
      <c r="I14" s="3">
        <v>56245.774999999994</v>
      </c>
      <c r="J14" s="6">
        <f>Tabla1[[#This Row],[preu total]]/Tabla1[[#This Row],[m²]]</f>
        <v>351.53609374999996</v>
      </c>
      <c r="K14" s="5"/>
    </row>
    <row r="15" spans="1:11" ht="15" customHeight="1" x14ac:dyDescent="0.3">
      <c r="A15" t="s">
        <v>24</v>
      </c>
      <c r="B15" s="2">
        <v>2026</v>
      </c>
      <c r="C15" s="2">
        <v>85</v>
      </c>
      <c r="D15" s="2" t="s">
        <v>4</v>
      </c>
      <c r="E15" s="2" t="s">
        <v>13</v>
      </c>
      <c r="F15" s="2" t="s">
        <v>6</v>
      </c>
      <c r="G15" s="2" t="s">
        <v>28</v>
      </c>
      <c r="H15" s="2" t="s">
        <v>27</v>
      </c>
      <c r="I15" s="3">
        <v>36517.54</v>
      </c>
      <c r="J15" s="6">
        <f>Tabla1[[#This Row],[preu total]]/Tabla1[[#This Row],[m²]]</f>
        <v>429.61811764705885</v>
      </c>
      <c r="K15" s="5"/>
    </row>
    <row r="16" spans="1:11" ht="15" customHeight="1" x14ac:dyDescent="0.3">
      <c r="A16" t="s">
        <v>24</v>
      </c>
      <c r="B16" s="2">
        <v>2026</v>
      </c>
      <c r="C16" s="2">
        <v>92</v>
      </c>
      <c r="D16" s="2" t="s">
        <v>4</v>
      </c>
      <c r="E16" s="2" t="s">
        <v>16</v>
      </c>
      <c r="F16" s="2" t="s">
        <v>6</v>
      </c>
      <c r="G16" s="2" t="s">
        <v>28</v>
      </c>
      <c r="H16" s="2" t="s">
        <v>10</v>
      </c>
      <c r="I16" s="3">
        <v>25838.73</v>
      </c>
      <c r="J16" s="6">
        <f>Tabla1[[#This Row],[preu total]]/Tabla1[[#This Row],[m²]]</f>
        <v>280.85576086956519</v>
      </c>
      <c r="K16" s="5"/>
    </row>
    <row r="17" spans="1:11" ht="15" customHeight="1" x14ac:dyDescent="0.3">
      <c r="A17" t="s">
        <v>25</v>
      </c>
      <c r="B17" s="2">
        <v>2026</v>
      </c>
      <c r="C17" s="2">
        <v>148</v>
      </c>
      <c r="D17" s="2" t="s">
        <v>21</v>
      </c>
      <c r="E17" s="2" t="s">
        <v>16</v>
      </c>
      <c r="F17" s="2" t="s">
        <v>6</v>
      </c>
      <c r="G17" s="2" t="s">
        <v>28</v>
      </c>
      <c r="H17" s="2" t="s">
        <v>14</v>
      </c>
      <c r="I17" s="3">
        <v>44771.630000000005</v>
      </c>
      <c r="J17" s="6">
        <f>Tabla1[[#This Row],[preu total]]/Tabla1[[#This Row],[m²]]</f>
        <v>302.51101351351355</v>
      </c>
      <c r="K17" s="5"/>
    </row>
    <row r="18" spans="1:11" ht="15" customHeight="1" x14ac:dyDescent="0.3">
      <c r="A18" t="s">
        <v>26</v>
      </c>
      <c r="B18" s="2">
        <v>2026</v>
      </c>
      <c r="C18" s="2">
        <v>172</v>
      </c>
      <c r="D18" s="2" t="s">
        <v>21</v>
      </c>
      <c r="E18" s="2" t="s">
        <v>16</v>
      </c>
      <c r="F18" s="2" t="s">
        <v>6</v>
      </c>
      <c r="G18" s="2" t="s">
        <v>17</v>
      </c>
      <c r="H18" s="2" t="s">
        <v>14</v>
      </c>
      <c r="I18" s="3">
        <v>39267.870000000003</v>
      </c>
      <c r="J18" s="6">
        <f>Tabla1[[#This Row],[preu total]]/Tabla1[[#This Row],[m²]]</f>
        <v>228.30156976744186</v>
      </c>
      <c r="K18" s="5"/>
    </row>
    <row r="19" spans="1:11" x14ac:dyDescent="0.3">
      <c r="B19" s="2"/>
      <c r="C19" s="2"/>
      <c r="D19" s="2"/>
      <c r="E19" s="2"/>
      <c r="F19" s="2"/>
      <c r="G19" s="2"/>
      <c r="H19" s="2"/>
      <c r="I19" s="2"/>
    </row>
    <row r="20" spans="1:11" x14ac:dyDescent="0.3">
      <c r="B20" s="2"/>
      <c r="C20" s="2"/>
      <c r="D20" s="2"/>
      <c r="E20" s="2"/>
      <c r="F20" s="2"/>
      <c r="G20" s="2"/>
      <c r="H20" s="2"/>
      <c r="I20" s="2"/>
    </row>
    <row r="21" spans="1:11" x14ac:dyDescent="0.3">
      <c r="B21" s="2"/>
      <c r="C21" s="2"/>
      <c r="D21" s="2"/>
      <c r="E21" s="2"/>
      <c r="F21" s="2"/>
      <c r="G21" s="2"/>
      <c r="H21" s="2"/>
      <c r="I21" s="2"/>
    </row>
    <row r="22" spans="1:11" x14ac:dyDescent="0.3">
      <c r="B22" s="2"/>
      <c r="C22" s="2"/>
      <c r="D22" s="2"/>
      <c r="E22" s="2"/>
      <c r="F22" s="2"/>
      <c r="G22" s="2"/>
      <c r="H22" s="2"/>
      <c r="I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Milanta</dc:creator>
  <cp:lastModifiedBy>Milanta</cp:lastModifiedBy>
  <dcterms:created xsi:type="dcterms:W3CDTF">2026-06-01T06:37:42Z</dcterms:created>
  <dcterms:modified xsi:type="dcterms:W3CDTF">2026-06-02T12:05:04Z</dcterms:modified>
</cp:coreProperties>
</file>